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sta\Documents\Programming\Tasks_TIES\REF\"/>
    </mc:Choice>
  </mc:AlternateContent>
  <xr:revisionPtr revIDLastSave="0" documentId="13_ncr:1_{05A3D3E7-A4E0-4161-951D-FDFD99C94777}" xr6:coauthVersionLast="43" xr6:coauthVersionMax="43" xr10:uidLastSave="{00000000-0000-0000-0000-000000000000}"/>
  <bookViews>
    <workbookView xWindow="2580" yWindow="2580" windowWidth="17280" windowHeight="8796" xr2:uid="{00000000-000D-0000-FFFF-FFFF00000000}"/>
  </bookViews>
  <sheets>
    <sheet name="AG-02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3" l="1"/>
  <c r="F9" i="3" l="1"/>
  <c r="G9" i="3" s="1"/>
  <c r="F17" i="3"/>
  <c r="G17" i="3"/>
  <c r="H17" i="3" s="1"/>
  <c r="B11" i="3" l="1"/>
  <c r="I9" i="3" s="1"/>
  <c r="G16" i="3"/>
  <c r="F16" i="3"/>
  <c r="G15" i="3"/>
  <c r="H15" i="3" s="1"/>
  <c r="F15" i="3"/>
  <c r="G14" i="3"/>
  <c r="F14" i="3"/>
  <c r="H13" i="3"/>
  <c r="G13" i="3"/>
  <c r="F13" i="3"/>
  <c r="G12" i="3"/>
  <c r="F12" i="3"/>
  <c r="F8" i="3"/>
  <c r="F7" i="3"/>
  <c r="P7" i="3"/>
  <c r="F6" i="3"/>
  <c r="F5" i="3"/>
  <c r="F4" i="3"/>
  <c r="R4" i="3"/>
  <c r="J9" i="3" l="1"/>
  <c r="K9" i="3" s="1"/>
  <c r="M9" i="3"/>
  <c r="J17" i="3" s="1"/>
  <c r="L17" i="3" s="1"/>
  <c r="L9" i="3"/>
  <c r="I17" i="3" s="1"/>
  <c r="G7" i="3"/>
  <c r="I7" i="3" s="1"/>
  <c r="G6" i="3"/>
  <c r="I6" i="3" s="1"/>
  <c r="G8" i="3"/>
  <c r="H12" i="3"/>
  <c r="G4" i="3"/>
  <c r="I4" i="3" s="1"/>
  <c r="H14" i="3"/>
  <c r="H16" i="3"/>
  <c r="G5" i="3"/>
  <c r="M6" i="3" l="1"/>
  <c r="L6" i="3"/>
  <c r="I14" i="3" s="1"/>
  <c r="K14" i="3" s="1"/>
  <c r="M4" i="3"/>
  <c r="L4" i="3"/>
  <c r="I12" i="3" s="1"/>
  <c r="K12" i="3" s="1"/>
  <c r="L7" i="3"/>
  <c r="M7" i="3"/>
  <c r="J15" i="3" s="1"/>
  <c r="N9" i="3"/>
  <c r="K17" i="3"/>
  <c r="J14" i="3"/>
  <c r="I15" i="3"/>
  <c r="K15" i="3" s="1"/>
  <c r="J12" i="3"/>
  <c r="J4" i="3"/>
  <c r="K4" i="3" s="1"/>
  <c r="J6" i="3"/>
  <c r="K6" i="3" s="1"/>
  <c r="J7" i="3"/>
  <c r="I5" i="3"/>
  <c r="I8" i="3"/>
  <c r="O9" i="3" l="1"/>
  <c r="H9" i="3"/>
  <c r="L8" i="3"/>
  <c r="I16" i="3" s="1"/>
  <c r="K16" i="3" s="1"/>
  <c r="M8" i="3"/>
  <c r="J16" i="3" s="1"/>
  <c r="L5" i="3"/>
  <c r="I13" i="3" s="1"/>
  <c r="K13" i="3" s="1"/>
  <c r="M5" i="3"/>
  <c r="J13" i="3" s="1"/>
  <c r="L14" i="3"/>
  <c r="L12" i="3"/>
  <c r="N4" i="3"/>
  <c r="N6" i="3"/>
  <c r="J8" i="3"/>
  <c r="K8" i="3" s="1"/>
  <c r="N7" i="3"/>
  <c r="J5" i="3"/>
  <c r="K7" i="3"/>
  <c r="L15" i="3"/>
  <c r="H4" i="3" l="1"/>
  <c r="O4" i="3"/>
  <c r="H6" i="3"/>
  <c r="O6" i="3"/>
  <c r="H7" i="3"/>
  <c r="O7" i="3"/>
  <c r="N8" i="3"/>
  <c r="N5" i="3"/>
  <c r="L16" i="3"/>
  <c r="K5" i="3"/>
  <c r="L13" i="3"/>
  <c r="H5" i="3" l="1"/>
  <c r="O5" i="3"/>
  <c r="O8" i="3"/>
  <c r="H8" i="3"/>
</calcChain>
</file>

<file path=xl/sharedStrings.xml><?xml version="1.0" encoding="utf-8"?>
<sst xmlns="http://schemas.openxmlformats.org/spreadsheetml/2006/main" count="32" uniqueCount="28">
  <si>
    <t>As</t>
  </si>
  <si>
    <t>p%</t>
  </si>
  <si>
    <t>db</t>
  </si>
  <si>
    <t>Adb</t>
  </si>
  <si>
    <t>No</t>
  </si>
  <si>
    <t>provided%</t>
  </si>
  <si>
    <t>Number of Bars</t>
  </si>
  <si>
    <t>mm</t>
  </si>
  <si>
    <t>Spacing</t>
  </si>
  <si>
    <t>Lower Bound</t>
  </si>
  <si>
    <t>Upper Bound</t>
  </si>
  <si>
    <t>B</t>
  </si>
  <si>
    <t>H</t>
  </si>
  <si>
    <t>Spc in B</t>
  </si>
  <si>
    <t>Spc in H</t>
  </si>
  <si>
    <t>Check Sb</t>
  </si>
  <si>
    <t>Check Sh</t>
  </si>
  <si>
    <t>Perimeter</t>
  </si>
  <si>
    <t>Dia_s</t>
  </si>
  <si>
    <t>Clear Cover</t>
  </si>
  <si>
    <t>Check</t>
  </si>
  <si>
    <t>Sa</t>
  </si>
  <si>
    <t>Si=(UB-LB)/2</t>
  </si>
  <si>
    <t>abs(Sa-Si)</t>
  </si>
  <si>
    <t>Nb</t>
  </si>
  <si>
    <t>Nh</t>
  </si>
  <si>
    <t>Total</t>
  </si>
  <si>
    <t>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</si>
</sst>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1" applyFill="1" applyAlignment="1">
      <alignment vertical="center"/>
    </xf>
    <xf numFmtId="1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2" borderId="0" xfId="1" applyAlignment="1">
      <alignment horizontal="center" vertical="center"/>
    </xf>
  </cellXfs>
  <cellStyles count="2">
    <cellStyle name="Neutral" xfId="1" builtinId="2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160020</xdr:colOff>
      <xdr:row>4</xdr:row>
      <xdr:rowOff>83820</xdr:rowOff>
    </xdr:from>
    <xdr:to>
      <xdr:col>19</xdr:col>
      <xdr:colOff>53340</xdr:colOff>
      <xdr:row>8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12C064A-0099-4245-8DB3-D8A1D3CD4251}"/>
            </a:ext>
          </a:extLst>
        </xdr:cNvPr>
        <xdr:cNvSpPr/>
      </xdr:nvSpPr>
      <xdr:spPr>
        <a:xfrm>
          <a:off x="8618220" y="937260"/>
          <a:ext cx="1722120" cy="800100"/>
        </a:xfrm>
        <a:prstGeom prst="rect">
          <a:avLst/>
        </a:prstGeom>
        <a:solidFill>
          <a:schemeClr val="accent2">
            <a:alpha val="50000"/>
          </a:schemeClr>
        </a:solidFill>
        <a:ln w="190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68580</xdr:colOff>
      <xdr:row>4</xdr:row>
      <xdr:rowOff>76200</xdr:rowOff>
    </xdr:from>
    <xdr:to>
      <xdr:col>16</xdr:col>
      <xdr:colOff>68580</xdr:colOff>
      <xdr:row>8</xdr:row>
      <xdr:rowOff>152400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B69B8CA-DA4B-407F-A943-554ADDCE7B7F}"/>
            </a:ext>
          </a:extLst>
        </xdr:cNvPr>
        <xdr:cNvCxnSpPr/>
      </xdr:nvCxnSpPr>
      <xdr:spPr>
        <a:xfrm>
          <a:off x="8526780" y="929640"/>
          <a:ext cx="0" cy="807720"/>
        </a:xfrm>
        <a:prstGeom prst="straightConnector1">
          <a:avLst/>
        </a:prstGeom>
        <a:ln w="19050"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160020</xdr:colOff>
      <xdr:row>3</xdr:row>
      <xdr:rowOff>167640</xdr:rowOff>
    </xdr:from>
    <xdr:to>
      <xdr:col>19</xdr:col>
      <xdr:colOff>38100</xdr:colOff>
      <xdr:row>3</xdr:row>
      <xdr:rowOff>167640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957E4137-F933-4006-AF22-2023BC2A2DB6}"/>
            </a:ext>
          </a:extLst>
        </xdr:cNvPr>
        <xdr:cNvCxnSpPr/>
      </xdr:nvCxnSpPr>
      <xdr:spPr>
        <a:xfrm>
          <a:off x="8618220" y="838200"/>
          <a:ext cx="1706880" cy="0"/>
        </a:xfrm>
        <a:prstGeom prst="straightConnector1">
          <a:avLst/>
        </a:prstGeom>
        <a:ln w="19050"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R25"/>
  <sheetViews>
    <sheetView tabSelected="1" workbookViewId="0">
      <selection activeCell="M18" sqref="M18"/>
    </sheetView>
  </sheetViews>
  <sheetFormatPr defaultRowHeight="14.4" x14ac:dyDescent="0.3"/>
  <cols>
    <col min="1" max="1" width="13.109375" customWidth="1"/>
    <col min="3" max="3" width="4" customWidth="1"/>
    <col min="4" max="4" width="6.21875" customWidth="1"/>
    <col min="5" max="5" width="8" customWidth="1"/>
    <col min="6" max="6" width="10" customWidth="1"/>
    <col min="7" max="7" width="11.44140625" customWidth="1"/>
    <col min="8" max="8" width="13.33203125" customWidth="1"/>
    <col min="9" max="10" width="11.44140625" customWidth="1"/>
    <col min="11" max="11" width="10.109375" customWidth="1"/>
    <col min="12" max="12" width="9.5546875" bestFit="1" customWidth="1"/>
  </cols>
  <sheetData>
    <row r="2" spans="1:18" ht="24" customHeight="1" x14ac:dyDescent="0.3">
      <c r="E2" s="18" t="s">
        <v>6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2"/>
    </row>
    <row r="3" spans="1:18" x14ac:dyDescent="0.3">
      <c r="A3" s="3" t="s">
        <v>11</v>
      </c>
      <c r="B3" s="6">
        <v>400</v>
      </c>
      <c r="C3" t="s">
        <v>7</v>
      </c>
      <c r="E3" s="3" t="s">
        <v>2</v>
      </c>
      <c r="F3" s="3" t="s">
        <v>3</v>
      </c>
      <c r="G3" s="3" t="s">
        <v>4</v>
      </c>
      <c r="H3" s="3" t="s">
        <v>5</v>
      </c>
      <c r="I3" s="5" t="s">
        <v>21</v>
      </c>
      <c r="J3" s="5" t="s">
        <v>20</v>
      </c>
      <c r="K3" s="5" t="s">
        <v>23</v>
      </c>
      <c r="L3" s="5" t="s">
        <v>24</v>
      </c>
      <c r="M3" s="5" t="s">
        <v>25</v>
      </c>
      <c r="N3" s="5" t="s">
        <v>26</v>
      </c>
      <c r="O3" s="3" t="s">
        <v>27</v>
      </c>
    </row>
    <row r="4" spans="1:18" x14ac:dyDescent="0.3">
      <c r="A4" s="3" t="s">
        <v>12</v>
      </c>
      <c r="B4" s="6">
        <v>400</v>
      </c>
      <c r="C4" t="s">
        <v>7</v>
      </c>
      <c r="E4" s="1">
        <v>16</v>
      </c>
      <c r="F4" s="2">
        <f t="shared" ref="F4:F9" si="0">E4*E4*PI()/4</f>
        <v>201.06192982974676</v>
      </c>
      <c r="G4" s="1">
        <f t="shared" ref="G4:G9" si="1">_xlfn.CEILING.MATH($B$7/F4,2)</f>
        <v>10</v>
      </c>
      <c r="H4" s="8">
        <f>N4*F4/$B$4/$B$3*100</f>
        <v>1.5079644737231006</v>
      </c>
      <c r="I4" s="13">
        <f t="shared" ref="I4:I9" si="2">$B$11/G4</f>
        <v>118.4</v>
      </c>
      <c r="J4" s="1" t="str">
        <f t="shared" ref="J4:J9" si="3">IF(I4&lt;F12,"NG",IF(I4&gt;G12,"NG","OK"))</f>
        <v>OK</v>
      </c>
      <c r="K4" s="13">
        <f t="shared" ref="K4:K9" si="4">IF(J4&lt;&gt;"NG",ABS(I4-H12),"NG")</f>
        <v>7.4000000000000057</v>
      </c>
      <c r="L4" s="13">
        <f>_xlfn.CEILING.MATH((($B$3-104)/I4),1)-1</f>
        <v>2</v>
      </c>
      <c r="M4" s="13">
        <f>_xlfn.CEILING.MATH((($B$4-104)/I4),1)-1</f>
        <v>2</v>
      </c>
      <c r="N4" s="13">
        <f t="shared" ref="N4:N9" si="5">(L4+M4)*2+4</f>
        <v>12</v>
      </c>
      <c r="O4" s="17">
        <f>N4*F4</f>
        <v>2412.7431579569611</v>
      </c>
      <c r="R4" s="4">
        <f>B3</f>
        <v>400</v>
      </c>
    </row>
    <row r="5" spans="1:18" x14ac:dyDescent="0.3">
      <c r="A5" s="3" t="s">
        <v>1</v>
      </c>
      <c r="B5" s="16">
        <f>B7/B3/B4*100</f>
        <v>1.25</v>
      </c>
      <c r="E5" s="1">
        <v>20</v>
      </c>
      <c r="F5" s="2">
        <f t="shared" si="0"/>
        <v>314.15926535897933</v>
      </c>
      <c r="G5" s="1">
        <f t="shared" si="1"/>
        <v>8</v>
      </c>
      <c r="H5" s="8">
        <f t="shared" ref="H5:H9" si="6">N5*F5/$B$4/$B$3*100</f>
        <v>1.5707963267948968</v>
      </c>
      <c r="I5" s="13">
        <f t="shared" si="2"/>
        <v>148</v>
      </c>
      <c r="J5" s="1" t="str">
        <f t="shared" si="3"/>
        <v>OK</v>
      </c>
      <c r="K5" s="13">
        <f t="shared" si="4"/>
        <v>33</v>
      </c>
      <c r="L5" s="13">
        <f>_xlfn.CEILING.MATH((($B$3-104)/I5),1)-1</f>
        <v>1</v>
      </c>
      <c r="M5" s="13">
        <f>_xlfn.CEILING.MATH((($B$4-104)/I5),1)-1</f>
        <v>1</v>
      </c>
      <c r="N5" s="13">
        <f t="shared" si="5"/>
        <v>8</v>
      </c>
      <c r="O5" s="17">
        <f t="shared" ref="O5:O9" si="7">N5*F5</f>
        <v>2513.2741228718346</v>
      </c>
    </row>
    <row r="6" spans="1:18" x14ac:dyDescent="0.3">
      <c r="A6" s="3" t="s">
        <v>18</v>
      </c>
      <c r="B6" s="6">
        <v>10</v>
      </c>
      <c r="C6" t="s">
        <v>7</v>
      </c>
      <c r="E6" s="1">
        <v>25</v>
      </c>
      <c r="F6" s="2">
        <f t="shared" si="0"/>
        <v>490.87385212340519</v>
      </c>
      <c r="G6" s="1">
        <f t="shared" si="1"/>
        <v>6</v>
      </c>
      <c r="H6" s="8">
        <f t="shared" si="6"/>
        <v>2.454369260617026</v>
      </c>
      <c r="I6" s="13">
        <f t="shared" si="2"/>
        <v>197.33333333333334</v>
      </c>
      <c r="J6" s="1" t="str">
        <f t="shared" si="3"/>
        <v>NG</v>
      </c>
      <c r="K6" s="13" t="str">
        <f t="shared" si="4"/>
        <v>NG</v>
      </c>
      <c r="L6" s="13">
        <f t="shared" ref="L6:L9" si="8">_xlfn.CEILING.MATH((($B$3-104)/I6),1)-1</f>
        <v>1</v>
      </c>
      <c r="M6" s="13">
        <f t="shared" ref="M6:M9" si="9">_xlfn.CEILING.MATH((($B$4-104)/I6),1)-1</f>
        <v>1</v>
      </c>
      <c r="N6" s="13">
        <f t="shared" si="5"/>
        <v>8</v>
      </c>
      <c r="O6" s="17">
        <f t="shared" si="7"/>
        <v>3926.9908169872415</v>
      </c>
    </row>
    <row r="7" spans="1:18" x14ac:dyDescent="0.3">
      <c r="A7" s="3" t="s">
        <v>0</v>
      </c>
      <c r="B7" s="7">
        <v>2000</v>
      </c>
      <c r="E7" s="1">
        <v>32</v>
      </c>
      <c r="F7" s="2">
        <f t="shared" si="0"/>
        <v>804.24771931898704</v>
      </c>
      <c r="G7" s="1">
        <f t="shared" si="1"/>
        <v>4</v>
      </c>
      <c r="H7" s="8">
        <f t="shared" si="6"/>
        <v>2.0106192982974678</v>
      </c>
      <c r="I7" s="13">
        <f t="shared" si="2"/>
        <v>296</v>
      </c>
      <c r="J7" s="1" t="str">
        <f t="shared" si="3"/>
        <v>NG</v>
      </c>
      <c r="K7" s="13" t="str">
        <f t="shared" si="4"/>
        <v>NG</v>
      </c>
      <c r="L7" s="13">
        <f t="shared" si="8"/>
        <v>0</v>
      </c>
      <c r="M7" s="13">
        <f t="shared" si="9"/>
        <v>0</v>
      </c>
      <c r="N7" s="13">
        <f t="shared" si="5"/>
        <v>4</v>
      </c>
      <c r="O7" s="17">
        <f t="shared" si="7"/>
        <v>3216.9908772759482</v>
      </c>
      <c r="P7" s="4">
        <f>B4</f>
        <v>400</v>
      </c>
    </row>
    <row r="8" spans="1:18" x14ac:dyDescent="0.3">
      <c r="A8" s="3" t="s">
        <v>19</v>
      </c>
      <c r="B8" s="6">
        <v>40</v>
      </c>
      <c r="C8" t="s">
        <v>7</v>
      </c>
      <c r="E8" s="1">
        <v>40</v>
      </c>
      <c r="F8" s="2">
        <f t="shared" si="0"/>
        <v>1256.6370614359173</v>
      </c>
      <c r="G8" s="1">
        <f t="shared" si="1"/>
        <v>2</v>
      </c>
      <c r="H8" s="8">
        <f t="shared" si="6"/>
        <v>3.1415926535897936</v>
      </c>
      <c r="I8" s="13">
        <f t="shared" si="2"/>
        <v>592</v>
      </c>
      <c r="J8" s="1" t="str">
        <f t="shared" si="3"/>
        <v>NG</v>
      </c>
      <c r="K8" s="13" t="str">
        <f t="shared" si="4"/>
        <v>NG</v>
      </c>
      <c r="L8" s="13">
        <f t="shared" si="8"/>
        <v>0</v>
      </c>
      <c r="M8" s="13">
        <f t="shared" si="9"/>
        <v>0</v>
      </c>
      <c r="N8" s="13">
        <f t="shared" si="5"/>
        <v>4</v>
      </c>
      <c r="O8" s="17">
        <f t="shared" si="7"/>
        <v>5026.5482457436692</v>
      </c>
    </row>
    <row r="9" spans="1:18" x14ac:dyDescent="0.3">
      <c r="A9" s="3"/>
      <c r="B9" s="11"/>
      <c r="E9" s="1">
        <v>12</v>
      </c>
      <c r="F9" s="2">
        <f t="shared" si="0"/>
        <v>113.09733552923255</v>
      </c>
      <c r="G9" s="1">
        <f t="shared" si="1"/>
        <v>18</v>
      </c>
      <c r="H9" s="8">
        <f t="shared" si="6"/>
        <v>1.4137166941154069</v>
      </c>
      <c r="I9" s="13">
        <f t="shared" si="2"/>
        <v>65.777777777777771</v>
      </c>
      <c r="J9" s="1" t="str">
        <f t="shared" si="3"/>
        <v>OK</v>
      </c>
      <c r="K9" s="13">
        <f t="shared" si="4"/>
        <v>41.222222222222229</v>
      </c>
      <c r="L9" s="13">
        <f t="shared" si="8"/>
        <v>4</v>
      </c>
      <c r="M9" s="13">
        <f t="shared" si="9"/>
        <v>4</v>
      </c>
      <c r="N9" s="13">
        <f t="shared" si="5"/>
        <v>20</v>
      </c>
      <c r="O9" s="17">
        <f t="shared" si="7"/>
        <v>2261.9467105846511</v>
      </c>
    </row>
    <row r="10" spans="1:18" x14ac:dyDescent="0.3">
      <c r="B10" s="1"/>
      <c r="E10" s="18" t="s">
        <v>8</v>
      </c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8" ht="31.2" customHeight="1" x14ac:dyDescent="0.3">
      <c r="A11" s="3" t="s">
        <v>17</v>
      </c>
      <c r="B11" s="1">
        <f>((B3-104)+(B4-104))*2</f>
        <v>1184</v>
      </c>
      <c r="E11" s="3" t="s">
        <v>2</v>
      </c>
      <c r="F11" s="5" t="s">
        <v>9</v>
      </c>
      <c r="G11" s="5" t="s">
        <v>10</v>
      </c>
      <c r="H11" s="5" t="s">
        <v>22</v>
      </c>
      <c r="I11" s="3" t="s">
        <v>13</v>
      </c>
      <c r="J11" s="5" t="s">
        <v>14</v>
      </c>
      <c r="K11" s="5" t="s">
        <v>15</v>
      </c>
      <c r="L11" s="5" t="s">
        <v>16</v>
      </c>
      <c r="M11" s="5"/>
      <c r="N11" s="5"/>
    </row>
    <row r="12" spans="1:18" x14ac:dyDescent="0.3">
      <c r="E12" s="1">
        <v>16</v>
      </c>
      <c r="F12" s="1">
        <f t="shared" ref="F12:F17" si="10">MAX(1.5*E12,40)+E12</f>
        <v>56</v>
      </c>
      <c r="G12" s="1">
        <f t="shared" ref="G12:G17" si="11">(150+E12)</f>
        <v>166</v>
      </c>
      <c r="H12" s="1">
        <f t="shared" ref="H12:H17" si="12">ROUND((G12+F12)/2,0)</f>
        <v>111</v>
      </c>
      <c r="I12" s="13">
        <f>($B$3-104)/(L4+1)</f>
        <v>98.666666666666671</v>
      </c>
      <c r="J12" s="13">
        <f>($B$4-104)/(M4+1)</f>
        <v>98.666666666666671</v>
      </c>
      <c r="K12" s="2">
        <f t="shared" ref="K12:K16" si="13">IF(I12&lt;F12,"NG",IF(I12&gt;G12,"NG",I12))</f>
        <v>98.666666666666671</v>
      </c>
      <c r="L12" s="2">
        <f t="shared" ref="L12:L16" si="14">IF(J12*0.9&lt;F12,"NG",IF(J12*0.9&gt;G12,"NG",J12))</f>
        <v>98.666666666666671</v>
      </c>
      <c r="M12" s="1"/>
      <c r="N12" s="1"/>
    </row>
    <row r="13" spans="1:18" x14ac:dyDescent="0.3">
      <c r="E13" s="1">
        <v>20</v>
      </c>
      <c r="F13" s="1">
        <f t="shared" si="10"/>
        <v>60</v>
      </c>
      <c r="G13" s="1">
        <f t="shared" si="11"/>
        <v>170</v>
      </c>
      <c r="H13" s="1">
        <f t="shared" si="12"/>
        <v>115</v>
      </c>
      <c r="I13" s="13">
        <f t="shared" ref="I13:I16" si="15">($B$3-104)/(L5+1)</f>
        <v>148</v>
      </c>
      <c r="J13" s="13">
        <f t="shared" ref="J13:J16" si="16">($B$4-104)/(M5+1)</f>
        <v>148</v>
      </c>
      <c r="K13" s="2">
        <f t="shared" si="13"/>
        <v>148</v>
      </c>
      <c r="L13" s="2">
        <f t="shared" si="14"/>
        <v>148</v>
      </c>
      <c r="M13" s="1"/>
      <c r="N13" s="1"/>
    </row>
    <row r="14" spans="1:18" x14ac:dyDescent="0.3">
      <c r="E14" s="1">
        <v>25</v>
      </c>
      <c r="F14" s="1">
        <f t="shared" si="10"/>
        <v>65</v>
      </c>
      <c r="G14" s="1">
        <f t="shared" si="11"/>
        <v>175</v>
      </c>
      <c r="H14" s="1">
        <f t="shared" si="12"/>
        <v>120</v>
      </c>
      <c r="I14" s="13">
        <f t="shared" si="15"/>
        <v>148</v>
      </c>
      <c r="J14" s="13">
        <f t="shared" si="16"/>
        <v>148</v>
      </c>
      <c r="K14" s="2">
        <f t="shared" si="13"/>
        <v>148</v>
      </c>
      <c r="L14" s="2">
        <f t="shared" si="14"/>
        <v>148</v>
      </c>
      <c r="M14" s="1"/>
      <c r="N14" s="1"/>
      <c r="P14">
        <v>1</v>
      </c>
    </row>
    <row r="15" spans="1:18" x14ac:dyDescent="0.3">
      <c r="E15" s="1">
        <v>32</v>
      </c>
      <c r="F15" s="1">
        <f t="shared" si="10"/>
        <v>80</v>
      </c>
      <c r="G15" s="1">
        <f t="shared" si="11"/>
        <v>182</v>
      </c>
      <c r="H15" s="1">
        <f t="shared" si="12"/>
        <v>131</v>
      </c>
      <c r="I15" s="13">
        <f t="shared" si="15"/>
        <v>296</v>
      </c>
      <c r="J15" s="13">
        <f t="shared" si="16"/>
        <v>296</v>
      </c>
      <c r="K15" s="2" t="str">
        <f t="shared" si="13"/>
        <v>NG</v>
      </c>
      <c r="L15" s="2" t="str">
        <f t="shared" si="14"/>
        <v>NG</v>
      </c>
      <c r="M15" s="1"/>
      <c r="N15" s="1"/>
    </row>
    <row r="16" spans="1:18" x14ac:dyDescent="0.3">
      <c r="E16" s="9">
        <v>40</v>
      </c>
      <c r="F16" s="9">
        <f t="shared" si="10"/>
        <v>100</v>
      </c>
      <c r="G16" s="9">
        <f t="shared" si="11"/>
        <v>190</v>
      </c>
      <c r="H16" s="9">
        <f t="shared" si="12"/>
        <v>145</v>
      </c>
      <c r="I16" s="15">
        <f t="shared" si="15"/>
        <v>296</v>
      </c>
      <c r="J16" s="15">
        <f t="shared" si="16"/>
        <v>296</v>
      </c>
      <c r="K16" s="14" t="str">
        <f t="shared" si="13"/>
        <v>NG</v>
      </c>
      <c r="L16" s="14" t="str">
        <f t="shared" si="14"/>
        <v>NG</v>
      </c>
      <c r="M16" s="9"/>
      <c r="N16" s="9"/>
    </row>
    <row r="17" spans="5:14" x14ac:dyDescent="0.3">
      <c r="E17" s="1">
        <v>12</v>
      </c>
      <c r="F17" s="1">
        <f t="shared" si="10"/>
        <v>52</v>
      </c>
      <c r="G17" s="1">
        <f t="shared" si="11"/>
        <v>162</v>
      </c>
      <c r="H17" s="1">
        <f t="shared" si="12"/>
        <v>107</v>
      </c>
      <c r="I17" s="15">
        <f>($B$3-104)/(L9+1)</f>
        <v>59.2</v>
      </c>
      <c r="J17" s="15">
        <f t="shared" ref="J17" si="17">($B$4-104)/(M9+1)</f>
        <v>59.2</v>
      </c>
      <c r="K17" s="14">
        <f t="shared" ref="K17" si="18">IF(I17&lt;F17,"NG",IF(I17&gt;G17,"NG",I17))</f>
        <v>59.2</v>
      </c>
      <c r="L17" s="14">
        <f t="shared" ref="L17" si="19">IF(J17*0.9&lt;F17,"NG",IF(J17*0.9&gt;G17,"NG",J17))</f>
        <v>59.2</v>
      </c>
      <c r="M17" s="10"/>
      <c r="N17" s="10"/>
    </row>
    <row r="18" spans="5:14" x14ac:dyDescent="0.3">
      <c r="E18" s="1"/>
      <c r="F18" s="1"/>
      <c r="G18" s="1"/>
      <c r="H18" s="1"/>
    </row>
    <row r="19" spans="5:14" x14ac:dyDescent="0.3">
      <c r="E19" s="1"/>
      <c r="F19" s="1"/>
      <c r="G19" s="1"/>
      <c r="H19" s="1"/>
    </row>
    <row r="20" spans="5:14" x14ac:dyDescent="0.3">
      <c r="E20" s="1"/>
      <c r="F20" s="1"/>
      <c r="G20" s="1"/>
      <c r="H20" s="1"/>
    </row>
    <row r="21" spans="5:14" x14ac:dyDescent="0.3">
      <c r="E21" s="1"/>
      <c r="F21" s="1"/>
      <c r="G21" s="1"/>
      <c r="H21" s="1"/>
    </row>
    <row r="22" spans="5:14" x14ac:dyDescent="0.3">
      <c r="E22" s="1"/>
      <c r="F22" s="1"/>
      <c r="G22" s="1"/>
      <c r="H22" s="1"/>
    </row>
    <row r="23" spans="5:14" x14ac:dyDescent="0.3">
      <c r="E23" s="1"/>
      <c r="F23" s="1"/>
      <c r="G23" s="1"/>
      <c r="H23" s="1"/>
    </row>
    <row r="24" spans="5:14" x14ac:dyDescent="0.3">
      <c r="E24" s="1"/>
      <c r="F24" s="1"/>
      <c r="G24" s="1"/>
      <c r="H24" s="1"/>
    </row>
    <row r="25" spans="5:14" x14ac:dyDescent="0.3">
      <c r="E25" s="1"/>
      <c r="F25" s="1"/>
      <c r="G25" s="1"/>
      <c r="H25" s="1"/>
    </row>
  </sheetData>
  <mergeCells count="2">
    <mergeCell ref="E2:O2"/>
    <mergeCell ref="E10:O10"/>
  </mergeCells>
  <conditionalFormatting sqref="K12:N16 K17:L17">
    <cfRule type="containsText" dxfId="0" priority="1" operator="containsText" text="NG">
      <formula>NOT(ISERROR(SEARCH("NG",K12)))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AG-02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Suhail Mohamed Yusuf</dc:creator>
  <cp:lastModifiedBy>Mustafa Masoud</cp:lastModifiedBy>
  <dcterms:created xsi:type="dcterms:W3CDTF">2018-07-12T13:05:14Z</dcterms:created>
  <dcterms:modified xsi:type="dcterms:W3CDTF">2019-07-17T14:19:10Z</dcterms:modified>
</cp:coreProperties>
</file>